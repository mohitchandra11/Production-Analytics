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rcelormittal-my.sharepoint.com/personal/10018932_arcelormittalsa_com/Documents/"/>
    </mc:Choice>
  </mc:AlternateContent>
  <xr:revisionPtr revIDLastSave="0" documentId="8_{8E35EB5D-3916-435E-87B9-39D85AB9D796}" xr6:coauthVersionLast="47" xr6:coauthVersionMax="47" xr10:uidLastSave="{00000000-0000-0000-0000-000000000000}"/>
  <bookViews>
    <workbookView xWindow="2580" yWindow="2580" windowWidth="17280" windowHeight="89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3" i="1"/>
  <c r="C3" i="1"/>
  <c r="D25" i="1"/>
  <c r="D26" i="1"/>
  <c r="D24" i="1"/>
  <c r="C25" i="1"/>
  <c r="C26" i="1"/>
  <c r="C27" i="1"/>
  <c r="C24" i="1"/>
  <c r="B27" i="1"/>
  <c r="D14" i="1" l="1"/>
  <c r="D15" i="1"/>
  <c r="D13" i="1"/>
  <c r="C16" i="1"/>
  <c r="C14" i="1"/>
  <c r="C15" i="1"/>
  <c r="C13" i="1"/>
  <c r="B6" i="1"/>
  <c r="C4" i="1" s="1"/>
  <c r="D4" i="1" s="1"/>
  <c r="B16" i="1"/>
  <c r="C5" i="1" l="1"/>
  <c r="C6" i="1"/>
</calcChain>
</file>

<file path=xl/sharedStrings.xml><?xml version="1.0" encoding="utf-8"?>
<sst xmlns="http://schemas.openxmlformats.org/spreadsheetml/2006/main" count="24" uniqueCount="17">
  <si>
    <t>Unplanned</t>
  </si>
  <si>
    <t>Time (Hours)</t>
  </si>
  <si>
    <t>Internal Production</t>
  </si>
  <si>
    <t>Internal Maintenance</t>
  </si>
  <si>
    <t xml:space="preserve">External </t>
  </si>
  <si>
    <t>5mm</t>
  </si>
  <si>
    <t>6mm</t>
  </si>
  <si>
    <t>Unplanned % of avaialbe time</t>
  </si>
  <si>
    <t>Unpanned stoppages</t>
  </si>
  <si>
    <t>Hours</t>
  </si>
  <si>
    <t>%Total</t>
  </si>
  <si>
    <t xml:space="preserve">%total Unplanned </t>
  </si>
  <si>
    <t>External</t>
  </si>
  <si>
    <t>Internal Prod</t>
  </si>
  <si>
    <t>Internal Main</t>
  </si>
  <si>
    <t>Total</t>
  </si>
  <si>
    <t>13mm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</si>
</sst>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0.0000"/>
    <numFmt numFmtId="166" formatCode="###\ ###\ ###\ ###\ "/>
    <numFmt numFmtId="167" formatCode="0.0%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1"/>
    <xf numFmtId="0" fontId="2" fillId="0" borderId="0" xfId="1" applyFont="1"/>
    <xf numFmtId="2" fontId="1" fillId="0" borderId="0" xfId="1" applyNumberFormat="1"/>
    <xf numFmtId="166" fontId="2" fillId="0" borderId="0" xfId="1" applyNumberFormat="1" applyFont="1" applyAlignment="1">
      <alignment horizontal="right"/>
    </xf>
    <xf numFmtId="9" fontId="1" fillId="0" borderId="0" xfId="3" applyFont="1" applyFill="1"/>
    <xf numFmtId="10" fontId="2" fillId="0" borderId="0" xfId="3" applyNumberFormat="1" applyFont="1" applyFill="1"/>
    <xf numFmtId="10" fontId="2" fillId="0" borderId="0" xfId="1" applyNumberFormat="1" applyFont="1"/>
    <xf numFmtId="9" fontId="1" fillId="0" borderId="0" xfId="4" applyFont="1" applyFill="1" applyBorder="1"/>
    <xf numFmtId="167" fontId="1" fillId="0" borderId="0" xfId="4" applyNumberFormat="1" applyFont="1"/>
    <xf numFmtId="10" fontId="0" fillId="0" borderId="0" xfId="4" applyNumberFormat="1" applyFont="1"/>
    <xf numFmtId="10" fontId="1" fillId="0" borderId="0" xfId="3" applyNumberFormat="1" applyFont="1" applyFill="1"/>
    <xf numFmtId="165" fontId="0" fillId="0" borderId="0" xfId="4" applyNumberFormat="1" applyFont="1"/>
    <xf numFmtId="165" fontId="1" fillId="0" borderId="0" xfId="4" applyNumberFormat="1" applyFont="1" applyFill="1" applyBorder="1"/>
    <xf numFmtId="165" fontId="2" fillId="0" borderId="0" xfId="1" applyNumberFormat="1" applyFont="1"/>
    <xf numFmtId="0" fontId="4" fillId="0" borderId="0" xfId="1" applyFont="1" applyAlignment="1">
      <alignment horizontal="center"/>
    </xf>
    <xf numFmtId="0" fontId="3" fillId="0" borderId="0" xfId="0" applyFont="1" applyAlignment="1">
      <alignment horizontal="center"/>
    </xf>
  </cellXfs>
  <cellStyles count="5">
    <cellStyle name="Comma 2" xfId="2" xr:uid="{00000000-0005-0000-0000-000000000000}"/>
    <cellStyle name="Normal" xfId="0" builtinId="0"/>
    <cellStyle name="Normal 2" xfId="1" xr:uid="{00000000-0005-0000-0000-000002000000}"/>
    <cellStyle name="Percent" xfId="4" builtinId="5"/>
    <cellStyle name="Percent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topLeftCell="A7" workbookViewId="0">
      <selection activeCell="H6" sqref="H6"/>
    </sheetView>
  </sheetViews>
  <sheetFormatPr defaultRowHeight="14.4" x14ac:dyDescent="0.3"/>
  <cols>
    <col min="1" max="1" width="18.88671875" bestFit="1" customWidth="1"/>
    <col min="2" max="2" width="12.44140625" bestFit="1" customWidth="1"/>
    <col min="3" max="3" width="25.88671875" bestFit="1" customWidth="1"/>
    <col min="4" max="4" width="22.5546875" bestFit="1" customWidth="1"/>
  </cols>
  <sheetData>
    <row r="1" spans="1:4" x14ac:dyDescent="0.3">
      <c r="A1" s="15" t="s">
        <v>5</v>
      </c>
      <c r="B1" s="15"/>
      <c r="C1" s="15"/>
      <c r="D1" s="15"/>
    </row>
    <row r="2" spans="1:4" x14ac:dyDescent="0.3">
      <c r="A2" s="1" t="s">
        <v>0</v>
      </c>
      <c r="B2" s="1" t="s">
        <v>1</v>
      </c>
      <c r="C2" s="2"/>
      <c r="D2" s="3"/>
    </row>
    <row r="3" spans="1:4" x14ac:dyDescent="0.3">
      <c r="A3" s="1" t="s">
        <v>2</v>
      </c>
      <c r="B3" s="1">
        <v>241</v>
      </c>
      <c r="C3" s="9">
        <f>B3/$B$6</f>
        <v>0.19754098360655736</v>
      </c>
      <c r="D3" s="13">
        <f>C3*$D$6</f>
        <v>1.0538811475409835E-2</v>
      </c>
    </row>
    <row r="4" spans="1:4" x14ac:dyDescent="0.3">
      <c r="A4" s="1" t="s">
        <v>3</v>
      </c>
      <c r="B4" s="1">
        <v>514</v>
      </c>
      <c r="C4" s="9">
        <f t="shared" ref="C4:C6" si="0">B4/$B$6</f>
        <v>0.42131147540983604</v>
      </c>
      <c r="D4" s="13">
        <f t="shared" ref="D4:D5" si="1">C4*$D$6</f>
        <v>2.2476967213114752E-2</v>
      </c>
    </row>
    <row r="5" spans="1:4" x14ac:dyDescent="0.3">
      <c r="A5" s="1" t="s">
        <v>4</v>
      </c>
      <c r="B5" s="1">
        <v>465</v>
      </c>
      <c r="C5" s="9">
        <f t="shared" si="0"/>
        <v>0.38114754098360654</v>
      </c>
      <c r="D5" s="13">
        <f>C5*$D$6</f>
        <v>2.0334221311475411E-2</v>
      </c>
    </row>
    <row r="6" spans="1:4" x14ac:dyDescent="0.3">
      <c r="A6" s="1"/>
      <c r="B6" s="1">
        <f>SUM(B3:B5)</f>
        <v>1220</v>
      </c>
      <c r="C6" s="1">
        <f t="shared" si="0"/>
        <v>1</v>
      </c>
      <c r="D6" s="8">
        <v>5.3350000000000002E-2</v>
      </c>
    </row>
    <row r="7" spans="1:4" x14ac:dyDescent="0.3">
      <c r="A7" s="1"/>
      <c r="B7" s="1"/>
      <c r="C7" s="1"/>
      <c r="D7" s="4"/>
    </row>
    <row r="8" spans="1:4" x14ac:dyDescent="0.3">
      <c r="A8" s="16" t="s">
        <v>6</v>
      </c>
      <c r="B8" s="16"/>
      <c r="C8" s="16"/>
      <c r="D8" s="16"/>
    </row>
    <row r="9" spans="1:4" x14ac:dyDescent="0.3">
      <c r="A9" s="1"/>
      <c r="B9" s="1"/>
      <c r="C9" s="1"/>
      <c r="D9" s="1"/>
    </row>
    <row r="10" spans="1:4" x14ac:dyDescent="0.3">
      <c r="A10" s="1"/>
      <c r="B10" s="1"/>
      <c r="C10" s="1" t="s">
        <v>7</v>
      </c>
      <c r="D10" s="6">
        <v>0.15</v>
      </c>
    </row>
    <row r="11" spans="1:4" x14ac:dyDescent="0.3">
      <c r="A11" s="1"/>
      <c r="B11" s="1"/>
      <c r="C11" s="1"/>
      <c r="D11" s="2"/>
    </row>
    <row r="12" spans="1:4" x14ac:dyDescent="0.3">
      <c r="A12" s="1" t="s">
        <v>8</v>
      </c>
      <c r="B12" s="1" t="s">
        <v>9</v>
      </c>
      <c r="C12" s="1" t="s">
        <v>10</v>
      </c>
      <c r="D12" s="2" t="s">
        <v>11</v>
      </c>
    </row>
    <row r="13" spans="1:4" x14ac:dyDescent="0.3">
      <c r="A13" s="1" t="s">
        <v>12</v>
      </c>
      <c r="B13" s="1">
        <v>268</v>
      </c>
      <c r="C13" s="11">
        <f>B13/$B$16</f>
        <v>0.2108575924468922</v>
      </c>
      <c r="D13" s="14">
        <f>C13*$D$16</f>
        <v>3.1628638867033827E-2</v>
      </c>
    </row>
    <row r="14" spans="1:4" x14ac:dyDescent="0.3">
      <c r="A14" s="1" t="s">
        <v>13</v>
      </c>
      <c r="B14" s="1">
        <v>150</v>
      </c>
      <c r="C14" s="11">
        <f t="shared" ref="C14:C16" si="2">B14/$B$16</f>
        <v>0.11801730920535011</v>
      </c>
      <c r="D14" s="14">
        <f t="shared" ref="D14:D15" si="3">C14*$D$16</f>
        <v>1.7702596380802516E-2</v>
      </c>
    </row>
    <row r="15" spans="1:4" x14ac:dyDescent="0.3">
      <c r="A15" s="1" t="s">
        <v>14</v>
      </c>
      <c r="B15" s="1">
        <v>853</v>
      </c>
      <c r="C15" s="11">
        <f t="shared" si="2"/>
        <v>0.67112509834775769</v>
      </c>
      <c r="D15" s="14">
        <f t="shared" si="3"/>
        <v>0.10066876475216364</v>
      </c>
    </row>
    <row r="16" spans="1:4" x14ac:dyDescent="0.3">
      <c r="A16" s="1" t="s">
        <v>15</v>
      </c>
      <c r="B16" s="1">
        <f>SUM(B13:B15)</f>
        <v>1271</v>
      </c>
      <c r="C16" s="5">
        <f t="shared" si="2"/>
        <v>1</v>
      </c>
      <c r="D16" s="7">
        <v>0.15</v>
      </c>
    </row>
    <row r="18" spans="1:4" x14ac:dyDescent="0.3">
      <c r="A18" s="16" t="s">
        <v>16</v>
      </c>
      <c r="B18" s="16"/>
      <c r="C18" s="16"/>
      <c r="D18" s="16"/>
    </row>
    <row r="19" spans="1:4" x14ac:dyDescent="0.3">
      <c r="C19" s="1" t="s">
        <v>7</v>
      </c>
      <c r="D19" s="6">
        <v>8.0000000000000002E-3</v>
      </c>
    </row>
    <row r="23" spans="1:4" x14ac:dyDescent="0.3">
      <c r="A23" t="s">
        <v>0</v>
      </c>
      <c r="B23" t="s">
        <v>1</v>
      </c>
    </row>
    <row r="24" spans="1:4" x14ac:dyDescent="0.3">
      <c r="A24" t="s">
        <v>2</v>
      </c>
      <c r="B24">
        <v>8</v>
      </c>
      <c r="C24" s="10">
        <f>B24/$B$27</f>
        <v>3.6363636363636362E-2</v>
      </c>
      <c r="D24" s="12">
        <f>C24*$D$27</f>
        <v>2.9090909090909091E-4</v>
      </c>
    </row>
    <row r="25" spans="1:4" x14ac:dyDescent="0.3">
      <c r="A25" t="s">
        <v>3</v>
      </c>
      <c r="B25">
        <v>60</v>
      </c>
      <c r="C25" s="10">
        <f t="shared" ref="C25:C27" si="4">B25/$B$27</f>
        <v>0.27272727272727271</v>
      </c>
      <c r="D25" s="12">
        <f t="shared" ref="D25:D26" si="5">C25*$D$27</f>
        <v>2.1818181818181819E-3</v>
      </c>
    </row>
    <row r="26" spans="1:4" x14ac:dyDescent="0.3">
      <c r="A26" t="s">
        <v>4</v>
      </c>
      <c r="B26">
        <v>152</v>
      </c>
      <c r="C26" s="10">
        <f t="shared" si="4"/>
        <v>0.69090909090909092</v>
      </c>
      <c r="D26" s="12">
        <f t="shared" si="5"/>
        <v>5.527272727272727E-3</v>
      </c>
    </row>
    <row r="27" spans="1:4" x14ac:dyDescent="0.3">
      <c r="A27" t="s">
        <v>15</v>
      </c>
      <c r="B27">
        <f>SUM(B24:B26)</f>
        <v>220</v>
      </c>
      <c r="C27" s="10">
        <f t="shared" si="4"/>
        <v>1</v>
      </c>
      <c r="D27" s="10">
        <v>8.0000000000000002E-3</v>
      </c>
    </row>
  </sheetData>
  <mergeCells count="3">
    <mergeCell ref="A1:D1"/>
    <mergeCell ref="A8:D8"/>
    <mergeCell ref="A18:D1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ArcelorMittal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Wagenaar, Clive C</dc:creator>
  <cp:lastModifiedBy>Tshimauswu, Unarine U</cp:lastModifiedBy>
  <dcterms:created xsi:type="dcterms:W3CDTF">2023-09-12T09:28:33Z</dcterms:created>
  <dcterms:modified xsi:type="dcterms:W3CDTF">2024-08-27T08:37:05Z</dcterms:modified>
</cp:coreProperties>
</file>